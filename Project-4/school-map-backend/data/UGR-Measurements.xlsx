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577701D8-3EE1-4C6B-B071-FFFBEC750695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3" i="1"/>
  <c r="E82" i="1"/>
  <c r="E81" i="1"/>
  <c r="E80" i="1"/>
  <c r="E79" i="1"/>
  <c r="E78" i="1"/>
  <c r="E77" i="1"/>
  <c r="E76" i="1"/>
  <c r="E71" i="1"/>
  <c r="E70" i="1"/>
  <c r="E69" i="1"/>
  <c r="E68" i="1"/>
  <c r="E67" i="1"/>
  <c r="E66" i="1"/>
  <c r="E62" i="1"/>
  <c r="E61" i="1"/>
  <c r="E60" i="1"/>
  <c r="E59" i="1"/>
  <c r="E58" i="1"/>
  <c r="E56" i="1"/>
  <c r="E55" i="1"/>
  <c r="E54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29" i="1"/>
  <c r="E28" i="1"/>
  <c r="E27" i="1"/>
  <c r="E26" i="1"/>
  <c r="E25" i="1"/>
  <c r="E24" i="1"/>
  <c r="E23" i="1"/>
  <c r="E22" i="1"/>
  <c r="E21" i="1"/>
  <c r="E20" i="1"/>
  <c r="E19" i="1"/>
  <c r="E18" i="1"/>
  <c r="E14" i="1"/>
  <c r="F1" i="1" s="1"/>
  <c r="E13" i="1"/>
  <c r="E12" i="1"/>
  <c r="E11" i="1"/>
  <c r="E10" i="1"/>
  <c r="E9" i="1"/>
  <c r="E8" i="1"/>
  <c r="E6" i="1"/>
  <c r="E5" i="1"/>
  <c r="E4" i="1"/>
  <c r="E3" i="1"/>
</calcChain>
</file>

<file path=xl/sharedStrings.xml><?xml version="1.0" encoding="utf-8"?>
<sst xmlns="http://schemas.openxmlformats.org/spreadsheetml/2006/main" count="399" uniqueCount="242">
  <si>
    <t>Hallway 1</t>
  </si>
  <si>
    <t>Lobby Area</t>
  </si>
  <si>
    <t>Exit Door</t>
  </si>
  <si>
    <t>START</t>
  </si>
  <si>
    <t>End Door</t>
  </si>
  <si>
    <t xml:space="preserve">From lobby door (do not enter- facing police dept) to </t>
  </si>
  <si>
    <t>1000s Area</t>
  </si>
  <si>
    <t>Halllway 2</t>
  </si>
  <si>
    <t>Hallway 3</t>
  </si>
  <si>
    <t>137 C</t>
  </si>
  <si>
    <t>cs entry door</t>
  </si>
  <si>
    <t>Left Hallway</t>
  </si>
  <si>
    <t>Beginning</t>
  </si>
  <si>
    <t>HD (left)</t>
  </si>
  <si>
    <t>auditorium door w hand sanitizer right</t>
  </si>
  <si>
    <t xml:space="preserve">Elavator </t>
  </si>
  <si>
    <t>Stairway</t>
  </si>
  <si>
    <t>HD (right)</t>
  </si>
  <si>
    <t>Stairs</t>
  </si>
  <si>
    <t>W bathroom rm 177</t>
  </si>
  <si>
    <t>Wheel Chair Lift</t>
  </si>
  <si>
    <t>M bathroom rm 175</t>
  </si>
  <si>
    <t>Electrical 103</t>
  </si>
  <si>
    <t>auditorium door w hand sanitizer on right</t>
  </si>
  <si>
    <t>UNK</t>
  </si>
  <si>
    <t>150e</t>
  </si>
  <si>
    <t>auditorium door w emergency shelter to right</t>
  </si>
  <si>
    <t>EQ106</t>
  </si>
  <si>
    <t>143b</t>
  </si>
  <si>
    <t>141a</t>
  </si>
  <si>
    <t>rebuilt entrance</t>
  </si>
  <si>
    <t>1023 (backside)</t>
  </si>
  <si>
    <t>RR109</t>
  </si>
  <si>
    <t>O108</t>
  </si>
  <si>
    <t>RR111</t>
  </si>
  <si>
    <t>ELV to Stairs</t>
  </si>
  <si>
    <t>O110</t>
  </si>
  <si>
    <t>From lobby door (do not enter facing hyper to BCB auditorium door to</t>
  </si>
  <si>
    <t>Stairs to ELV</t>
  </si>
  <si>
    <t>HE03</t>
  </si>
  <si>
    <t>141 A</t>
  </si>
  <si>
    <t>emergency shelter</t>
  </si>
  <si>
    <t>O112</t>
  </si>
  <si>
    <t>hand sanitizer right</t>
  </si>
  <si>
    <t>Right Hallway</t>
  </si>
  <si>
    <t>CR114</t>
  </si>
  <si>
    <t>Hallway 2</t>
  </si>
  <si>
    <t>elevator next to 103</t>
  </si>
  <si>
    <t>EX02</t>
  </si>
  <si>
    <t xml:space="preserve">Stairs </t>
  </si>
  <si>
    <t>elevator next to 1013</t>
  </si>
  <si>
    <t>M BATH</t>
  </si>
  <si>
    <t>elevator</t>
  </si>
  <si>
    <t>W BATH</t>
  </si>
  <si>
    <t>Hallway</t>
  </si>
  <si>
    <t>no #</t>
  </si>
  <si>
    <t>Elv to stairs</t>
  </si>
  <si>
    <t>Stairs to Elv</t>
  </si>
  <si>
    <t>stairs</t>
  </si>
  <si>
    <t>hallway</t>
  </si>
  <si>
    <t>stairway</t>
  </si>
  <si>
    <t>143 b</t>
  </si>
  <si>
    <t>141 a</t>
  </si>
  <si>
    <t>Hallway 4</t>
  </si>
  <si>
    <t>132 B</t>
  </si>
  <si>
    <t>O135</t>
  </si>
  <si>
    <t>132 A</t>
  </si>
  <si>
    <t>Exit door</t>
  </si>
  <si>
    <t>Hallway 5</t>
  </si>
  <si>
    <t xml:space="preserve">Doors </t>
  </si>
  <si>
    <t>End Room</t>
  </si>
  <si>
    <t>Hallway 6</t>
  </si>
  <si>
    <t>NodeID</t>
  </si>
  <si>
    <t>Name</t>
  </si>
  <si>
    <t>Type</t>
  </si>
  <si>
    <t>x</t>
  </si>
  <si>
    <t>y</t>
  </si>
  <si>
    <t>Description</t>
  </si>
  <si>
    <t>HW01</t>
  </si>
  <si>
    <t>HALLWAY</t>
  </si>
  <si>
    <t>137C to exit door by 138</t>
  </si>
  <si>
    <t>R137C</t>
  </si>
  <si>
    <t>ROOM</t>
  </si>
  <si>
    <t>no label; by end door</t>
  </si>
  <si>
    <t>R150</t>
  </si>
  <si>
    <t>lecture room</t>
  </si>
  <si>
    <t>S01</t>
  </si>
  <si>
    <t>STAIRS</t>
  </si>
  <si>
    <t>Steps in the middle</t>
  </si>
  <si>
    <t>R143</t>
  </si>
  <si>
    <t>Lecture room B</t>
  </si>
  <si>
    <t>R141</t>
  </si>
  <si>
    <t>Lecture room A</t>
  </si>
  <si>
    <t>G150E</t>
  </si>
  <si>
    <t xml:space="preserve">Auditorium stage entrance </t>
  </si>
  <si>
    <t>R139</t>
  </si>
  <si>
    <t>Computer lab</t>
  </si>
  <si>
    <t>R142A</t>
  </si>
  <si>
    <t>HE01</t>
  </si>
  <si>
    <t>HALL ENTRANCE</t>
  </si>
  <si>
    <t>Entrance to 145-152</t>
  </si>
  <si>
    <t>HE02</t>
  </si>
  <si>
    <t>Entrance to 136-130</t>
  </si>
  <si>
    <t>R138</t>
  </si>
  <si>
    <t>Student Health Services</t>
  </si>
  <si>
    <t>EX01</t>
  </si>
  <si>
    <t>EXIT</t>
  </si>
  <si>
    <t>Exit doors at the end</t>
  </si>
  <si>
    <t>HW02</t>
  </si>
  <si>
    <t>Staiway to exit door (103-114)</t>
  </si>
  <si>
    <t>SW01</t>
  </si>
  <si>
    <t>STAIRWAY</t>
  </si>
  <si>
    <t>Stariway</t>
  </si>
  <si>
    <t>EL01</t>
  </si>
  <si>
    <t>ELAVATOR</t>
  </si>
  <si>
    <t>Elavator at beginning of hallway</t>
  </si>
  <si>
    <t>EC103</t>
  </si>
  <si>
    <t>ELECTRICAL</t>
  </si>
  <si>
    <t>Electrical Room</t>
  </si>
  <si>
    <t>UN</t>
  </si>
  <si>
    <t>UNKNOWN</t>
  </si>
  <si>
    <t>Door with no label</t>
  </si>
  <si>
    <t>EQUIPMENT</t>
  </si>
  <si>
    <t>Elavator equipment closet</t>
  </si>
  <si>
    <t>RESTROOM</t>
  </si>
  <si>
    <t>Women's restroom</t>
  </si>
  <si>
    <t>OFFICE</t>
  </si>
  <si>
    <t>Dr Anta’Sha Jones office</t>
  </si>
  <si>
    <t>Mens restroom</t>
  </si>
  <si>
    <t>Jerome S Myricks</t>
  </si>
  <si>
    <t>Lekeon Little</t>
  </si>
  <si>
    <t>CONFERENCE ROOM</t>
  </si>
  <si>
    <t>Conference room</t>
  </si>
  <si>
    <t>HW03</t>
  </si>
  <si>
    <t>Hall 3 beginning to 130</t>
  </si>
  <si>
    <t>O116</t>
  </si>
  <si>
    <t>Alex S. Alochukwu</t>
  </si>
  <si>
    <t>O117</t>
  </si>
  <si>
    <t>Laxmi P. Paudel</t>
  </si>
  <si>
    <t>WL01</t>
  </si>
  <si>
    <t>WHEELCHAIR LIFT</t>
  </si>
  <si>
    <t>O118</t>
  </si>
  <si>
    <t>Keyanna Davis</t>
  </si>
  <si>
    <t>O119</t>
  </si>
  <si>
    <t>Vijay J. Kunwar</t>
  </si>
  <si>
    <t>R143B</t>
  </si>
  <si>
    <t>Lecture room</t>
  </si>
  <si>
    <t>O120</t>
  </si>
  <si>
    <t>Dr Zephyrinus Okonkwo</t>
  </si>
  <si>
    <t>O121</t>
  </si>
  <si>
    <t>Li Feng</t>
  </si>
  <si>
    <t>O122</t>
  </si>
  <si>
    <t>Dr Seyed H Roosta</t>
  </si>
  <si>
    <t>R141A</t>
  </si>
  <si>
    <t xml:space="preserve">Lecture room </t>
  </si>
  <si>
    <t>O124</t>
  </si>
  <si>
    <t>Mr Anthony Cooper</t>
  </si>
  <si>
    <t>O139</t>
  </si>
  <si>
    <t>Records office</t>
  </si>
  <si>
    <t>O125</t>
  </si>
  <si>
    <t xml:space="preserve">Dr Yong Jin Lee </t>
  </si>
  <si>
    <t>O126</t>
  </si>
  <si>
    <t>HBCU Project Manager office</t>
  </si>
  <si>
    <t>O127</t>
  </si>
  <si>
    <t>Dr Liqiu Zheng Office</t>
  </si>
  <si>
    <t>O128</t>
  </si>
  <si>
    <t>uknown office</t>
  </si>
  <si>
    <t>SW02</t>
  </si>
  <si>
    <t>Stairway at the end</t>
  </si>
  <si>
    <t>HE04</t>
  </si>
  <si>
    <t>Entrance to halllway 4 (130-136)</t>
  </si>
  <si>
    <t>O130</t>
  </si>
  <si>
    <t>Dep of Math and computer science and physics office</t>
  </si>
  <si>
    <t>HW04</t>
  </si>
  <si>
    <t>Exit door by stairway to hallway 1</t>
  </si>
  <si>
    <t>EQ136</t>
  </si>
  <si>
    <t>Equipment closet</t>
  </si>
  <si>
    <t>C134</t>
  </si>
  <si>
    <t>CUSTODIAN</t>
  </si>
  <si>
    <t xml:space="preserve">Custodian closet </t>
  </si>
  <si>
    <t>SR132B</t>
  </si>
  <si>
    <t>STAFF RESTROOM</t>
  </si>
  <si>
    <t>Staff only restroom</t>
  </si>
  <si>
    <t>SR132A</t>
  </si>
  <si>
    <t>R133</t>
  </si>
  <si>
    <t>SW03</t>
  </si>
  <si>
    <t>Stairway by exit door</t>
  </si>
  <si>
    <t>EX03</t>
  </si>
  <si>
    <t xml:space="preserve">EXIT </t>
  </si>
  <si>
    <t>Exit door by stairway</t>
  </si>
  <si>
    <t>HW05</t>
  </si>
  <si>
    <t>152-145</t>
  </si>
  <si>
    <t>R142B</t>
  </si>
  <si>
    <t>R144</t>
  </si>
  <si>
    <t>conference room</t>
  </si>
  <si>
    <t>R146</t>
  </si>
  <si>
    <t>Green room</t>
  </si>
  <si>
    <t>HE05</t>
  </si>
  <si>
    <t>Entrance to hall 145-152</t>
  </si>
  <si>
    <t>SW04</t>
  </si>
  <si>
    <t>SF01</t>
  </si>
  <si>
    <t>STAFF ONLY</t>
  </si>
  <si>
    <t>Door at the end</t>
  </si>
  <si>
    <t>HW06</t>
  </si>
  <si>
    <t>145-152</t>
  </si>
  <si>
    <t>EQ145</t>
  </si>
  <si>
    <t xml:space="preserve">Communication equipment </t>
  </si>
  <si>
    <t>R147</t>
  </si>
  <si>
    <t xml:space="preserve">Electrical Room </t>
  </si>
  <si>
    <t>R148</t>
  </si>
  <si>
    <t>Sound room</t>
  </si>
  <si>
    <t>EQ151</t>
  </si>
  <si>
    <t>Service atrium</t>
  </si>
  <si>
    <t>EX04</t>
  </si>
  <si>
    <t>Exit to the side across from closet</t>
  </si>
  <si>
    <t>SG150e</t>
  </si>
  <si>
    <t>STAGE</t>
  </si>
  <si>
    <t>Stage entrance</t>
  </si>
  <si>
    <t>S02</t>
  </si>
  <si>
    <t>stairway down to 150 lecture room</t>
  </si>
  <si>
    <t>EQ152</t>
  </si>
  <si>
    <t>Storage</t>
  </si>
  <si>
    <t>LOB01</t>
  </si>
  <si>
    <t>LOBBY</t>
  </si>
  <si>
    <t>Big area in center</t>
  </si>
  <si>
    <t>DR01</t>
  </si>
  <si>
    <t>DOOR</t>
  </si>
  <si>
    <t>DR02</t>
  </si>
  <si>
    <t>RR177</t>
  </si>
  <si>
    <t>Womens bathroom</t>
  </si>
  <si>
    <t>RR175</t>
  </si>
  <si>
    <t>Mens bathroom</t>
  </si>
  <si>
    <t>DR03</t>
  </si>
  <si>
    <t>DR04</t>
  </si>
  <si>
    <t>EN01</t>
  </si>
  <si>
    <t>ENTRANCE</t>
  </si>
  <si>
    <t>EM01</t>
  </si>
  <si>
    <t xml:space="preserve">EMERGENCY </t>
  </si>
  <si>
    <t>Emergency shelter</t>
  </si>
  <si>
    <t>EL02</t>
  </si>
  <si>
    <t>ELEVATOR</t>
  </si>
  <si>
    <t>EL03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</si>
</sst>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sz val="10"/>
      <color theme="1"/>
      <name val="Helvetica Neue"/>
      <charset val="1"/>
    </font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0"/>
      <color rgb="FF000000"/>
      <name val="Helvetica Neue"/>
      <charset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  <xf numFmtId="0" fontId="2" fillId="0" borderId="0" xfId="0" applyFont="1" applyAlignment="1">
      <alignment horizontal="left"/>
    </xf>
    <xf numFmtId="0" fontId="0" fillId="2" borderId="0" xfId="0" applyFill="1"/>
    <xf numFmtId="0" fontId="3" fillId="0" borderId="0" xfId="0" applyFont="1"/>
    <xf numFmtId="0" fontId="3" fillId="2" borderId="0" xfId="0" applyFont="1" applyFill="1"/>
    <xf numFmtId="0" fontId="0" fillId="3" borderId="0" xfId="0" applyFill="1"/>
    <xf numFmtId="0" fontId="5" fillId="0" borderId="0" xfId="0" applyFont="1"/>
    <xf numFmtId="3" fontId="5" fillId="0" borderId="0" xfId="0" applyNumberFormat="1" applyFont="1"/>
    <xf numFmtId="0" fontId="6" fillId="0" borderId="0" xfId="0" applyFont="1"/>
    <xf numFmtId="0" fontId="0" fillId="4" borderId="0" xfId="0" applyFill="1"/>
    <xf numFmtId="0" fontId="0" fillId="4" borderId="0" xfId="0" applyFill="1" applyAlignment="1">
      <alignment horizontal="left"/>
    </xf>
    <xf numFmtId="0" fontId="4" fillId="4" borderId="0" xfId="0" applyFont="1" applyFill="1"/>
    <xf numFmtId="0" fontId="4" fillId="4" borderId="0" xfId="0" applyFont="1" applyFill="1" applyAlignment="1">
      <alignment readingOrder="1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3"/>
  <sheetViews>
    <sheetView workbookViewId="0">
      <selection activeCell="O17" sqref="O17"/>
    </sheetView>
  </sheetViews>
  <sheetFormatPr defaultRowHeight="15"/>
  <cols>
    <col min="1" max="1" width="20.85546875" style="1" customWidth="1"/>
    <col min="10" max="10" width="61.85546875" customWidth="1"/>
    <col min="15" max="15" width="15.28515625" customWidth="1"/>
    <col min="19" max="19" width="13" customWidth="1"/>
    <col min="22" max="22" width="14.42578125" customWidth="1"/>
  </cols>
  <sheetData>
    <row r="1" spans="1:23">
      <c r="A1" s="1" t="s">
        <v>0</v>
      </c>
      <c r="B1" s="2"/>
      <c r="D1" s="1"/>
      <c r="F1" s="2">
        <f>E14</f>
        <v>1721</v>
      </c>
      <c r="J1" t="s">
        <v>1</v>
      </c>
    </row>
    <row r="2" spans="1:23">
      <c r="A2" s="1" t="s">
        <v>2</v>
      </c>
      <c r="B2" t="s">
        <v>3</v>
      </c>
      <c r="D2" s="1" t="s">
        <v>4</v>
      </c>
      <c r="E2" t="s">
        <v>3</v>
      </c>
      <c r="J2" s="4" t="s">
        <v>5</v>
      </c>
      <c r="O2" s="4" t="s">
        <v>6</v>
      </c>
      <c r="P2" s="4"/>
      <c r="S2" t="s">
        <v>7</v>
      </c>
      <c r="V2" s="1" t="s">
        <v>8</v>
      </c>
    </row>
    <row r="3" spans="1:23">
      <c r="A3" s="1">
        <v>138</v>
      </c>
      <c r="B3">
        <v>43</v>
      </c>
      <c r="D3" s="1" t="s">
        <v>9</v>
      </c>
      <c r="E3" s="2">
        <f>B14-B13</f>
        <v>39</v>
      </c>
      <c r="J3" s="5" t="s">
        <v>10</v>
      </c>
      <c r="K3" s="2">
        <v>1136</v>
      </c>
      <c r="O3" t="s">
        <v>11</v>
      </c>
      <c r="S3" t="s">
        <v>12</v>
      </c>
      <c r="T3" t="s">
        <v>3</v>
      </c>
      <c r="V3" s="1">
        <v>116</v>
      </c>
      <c r="W3" s="1">
        <v>88</v>
      </c>
    </row>
    <row r="4" spans="1:23">
      <c r="A4" s="1" t="s">
        <v>13</v>
      </c>
      <c r="B4">
        <v>113</v>
      </c>
      <c r="D4" s="1">
        <v>150</v>
      </c>
      <c r="E4" s="2">
        <f>B14-B12</f>
        <v>505</v>
      </c>
      <c r="J4" t="s">
        <v>14</v>
      </c>
      <c r="K4">
        <v>559</v>
      </c>
      <c r="O4" t="s">
        <v>15</v>
      </c>
      <c r="P4" t="s">
        <v>3</v>
      </c>
      <c r="S4" t="s">
        <v>16</v>
      </c>
      <c r="T4" s="1">
        <v>61</v>
      </c>
      <c r="V4" s="1">
        <v>117</v>
      </c>
      <c r="W4" s="1">
        <v>148</v>
      </c>
    </row>
    <row r="5" spans="1:23">
      <c r="A5" s="1" t="s">
        <v>17</v>
      </c>
      <c r="B5">
        <v>388</v>
      </c>
      <c r="D5" s="1" t="s">
        <v>18</v>
      </c>
      <c r="E5" s="2">
        <f>B14-B11</f>
        <v>575</v>
      </c>
      <c r="J5" s="5" t="s">
        <v>19</v>
      </c>
      <c r="K5">
        <v>580</v>
      </c>
      <c r="O5" s="1">
        <v>1018</v>
      </c>
      <c r="P5">
        <v>217</v>
      </c>
      <c r="S5" t="s">
        <v>15</v>
      </c>
      <c r="T5" s="1">
        <v>104</v>
      </c>
      <c r="V5" s="1" t="s">
        <v>20</v>
      </c>
      <c r="W5" s="1">
        <v>274</v>
      </c>
    </row>
    <row r="6" spans="1:23">
      <c r="A6" s="1">
        <v>142</v>
      </c>
      <c r="B6">
        <v>535</v>
      </c>
      <c r="D6" s="1">
        <v>143</v>
      </c>
      <c r="E6" s="2">
        <f>B14-B10</f>
        <v>575</v>
      </c>
      <c r="J6" s="5" t="s">
        <v>21</v>
      </c>
      <c r="K6">
        <v>684</v>
      </c>
      <c r="O6" s="1">
        <v>1023</v>
      </c>
      <c r="P6">
        <v>530</v>
      </c>
      <c r="S6" t="s">
        <v>22</v>
      </c>
      <c r="T6" s="1">
        <v>167</v>
      </c>
      <c r="V6" s="1">
        <v>118</v>
      </c>
      <c r="W6" s="1">
        <v>346</v>
      </c>
    </row>
    <row r="7" spans="1:23">
      <c r="A7" s="1">
        <v>139</v>
      </c>
      <c r="B7">
        <v>654</v>
      </c>
      <c r="D7" s="1">
        <v>141</v>
      </c>
      <c r="E7" s="2">
        <f>B14-B9</f>
        <v>850</v>
      </c>
      <c r="J7" s="5" t="s">
        <v>23</v>
      </c>
      <c r="K7">
        <v>571</v>
      </c>
      <c r="O7" s="1">
        <v>1019</v>
      </c>
      <c r="P7">
        <v>654</v>
      </c>
      <c r="S7" t="s">
        <v>24</v>
      </c>
      <c r="T7" s="1">
        <v>252</v>
      </c>
      <c r="V7" s="1">
        <v>119</v>
      </c>
      <c r="W7" s="1">
        <v>403</v>
      </c>
    </row>
    <row r="8" spans="1:23">
      <c r="A8" s="1" t="s">
        <v>25</v>
      </c>
      <c r="B8">
        <v>840</v>
      </c>
      <c r="D8" s="3" t="s">
        <v>25</v>
      </c>
      <c r="E8" s="2">
        <f>B14-B8</f>
        <v>881</v>
      </c>
      <c r="J8" t="s">
        <v>26</v>
      </c>
      <c r="K8">
        <v>875</v>
      </c>
      <c r="O8" s="1">
        <v>1020</v>
      </c>
      <c r="P8">
        <v>740</v>
      </c>
      <c r="S8" t="s">
        <v>27</v>
      </c>
      <c r="T8" s="1">
        <v>368</v>
      </c>
      <c r="V8" s="1" t="s">
        <v>28</v>
      </c>
      <c r="W8" s="1">
        <v>562</v>
      </c>
    </row>
    <row r="9" spans="1:23">
      <c r="A9" s="1" t="s">
        <v>29</v>
      </c>
      <c r="B9" s="2">
        <v>871</v>
      </c>
      <c r="D9" s="1">
        <v>139</v>
      </c>
      <c r="E9" s="2">
        <f>B14-B7</f>
        <v>1067</v>
      </c>
      <c r="J9" s="5" t="s">
        <v>30</v>
      </c>
      <c r="K9">
        <v>497</v>
      </c>
      <c r="O9" s="1" t="s">
        <v>31</v>
      </c>
      <c r="P9">
        <v>1019</v>
      </c>
      <c r="S9" t="s">
        <v>32</v>
      </c>
      <c r="T9" s="1">
        <v>422</v>
      </c>
      <c r="V9" s="1">
        <v>120</v>
      </c>
      <c r="W9" s="1">
        <v>605</v>
      </c>
    </row>
    <row r="10" spans="1:23">
      <c r="A10" s="1">
        <v>143</v>
      </c>
      <c r="B10" s="2">
        <v>1146</v>
      </c>
      <c r="D10" s="1">
        <v>142</v>
      </c>
      <c r="E10" s="2">
        <f>B14-B6</f>
        <v>1186</v>
      </c>
      <c r="J10" s="5" t="s">
        <v>19</v>
      </c>
      <c r="K10">
        <v>1327</v>
      </c>
      <c r="O10" s="1">
        <v>1022</v>
      </c>
      <c r="P10">
        <v>1120</v>
      </c>
      <c r="S10" t="s">
        <v>33</v>
      </c>
      <c r="T10" s="1">
        <v>494</v>
      </c>
      <c r="V10" s="1">
        <v>121</v>
      </c>
      <c r="W10" s="1">
        <v>661</v>
      </c>
    </row>
    <row r="11" spans="1:23">
      <c r="A11" s="1" t="s">
        <v>18</v>
      </c>
      <c r="B11" s="2">
        <v>1146</v>
      </c>
      <c r="D11" s="1" t="s">
        <v>13</v>
      </c>
      <c r="E11" s="2">
        <f>B14-B5</f>
        <v>1333</v>
      </c>
      <c r="J11" s="5" t="s">
        <v>21</v>
      </c>
      <c r="K11">
        <v>1428</v>
      </c>
      <c r="O11" s="1">
        <v>1309</v>
      </c>
      <c r="P11">
        <v>1309</v>
      </c>
      <c r="S11" t="s">
        <v>34</v>
      </c>
      <c r="T11" s="1">
        <v>578</v>
      </c>
      <c r="V11" s="1">
        <v>122</v>
      </c>
      <c r="W11" s="1">
        <v>864</v>
      </c>
    </row>
    <row r="12" spans="1:23">
      <c r="A12" s="1">
        <v>150</v>
      </c>
      <c r="B12" s="2">
        <v>1216</v>
      </c>
      <c r="D12" s="1" t="s">
        <v>17</v>
      </c>
      <c r="E12" s="2">
        <f>B14-B4</f>
        <v>1608</v>
      </c>
      <c r="J12" s="5"/>
      <c r="O12" t="s">
        <v>35</v>
      </c>
      <c r="P12">
        <v>1456</v>
      </c>
      <c r="S12" t="s">
        <v>36</v>
      </c>
      <c r="T12" s="1">
        <v>552</v>
      </c>
      <c r="V12" s="1">
        <v>123</v>
      </c>
      <c r="W12" s="1">
        <v>914</v>
      </c>
    </row>
    <row r="13" spans="1:23">
      <c r="A13" s="1" t="s">
        <v>9</v>
      </c>
      <c r="B13" s="2">
        <v>1682</v>
      </c>
      <c r="D13" s="1">
        <v>138</v>
      </c>
      <c r="E13" s="2">
        <f>B14-B3</f>
        <v>1678</v>
      </c>
      <c r="J13" s="6" t="s">
        <v>37</v>
      </c>
      <c r="O13" t="s">
        <v>38</v>
      </c>
      <c r="P13">
        <v>2410</v>
      </c>
      <c r="S13" t="s">
        <v>39</v>
      </c>
      <c r="T13" s="1">
        <v>679</v>
      </c>
      <c r="V13" s="1" t="s">
        <v>40</v>
      </c>
      <c r="W13" s="1">
        <v>945</v>
      </c>
    </row>
    <row r="14" spans="1:23">
      <c r="A14" s="1" t="s">
        <v>4</v>
      </c>
      <c r="B14" s="2">
        <v>1721</v>
      </c>
      <c r="D14" s="1" t="s">
        <v>2</v>
      </c>
      <c r="E14" s="2">
        <f>B14</f>
        <v>1721</v>
      </c>
      <c r="J14" s="5" t="s">
        <v>41</v>
      </c>
      <c r="K14">
        <v>496</v>
      </c>
      <c r="S14" t="s">
        <v>42</v>
      </c>
      <c r="T14" s="1">
        <v>744</v>
      </c>
      <c r="V14" s="1">
        <v>124</v>
      </c>
      <c r="W14" s="1">
        <v>1119</v>
      </c>
    </row>
    <row r="15" spans="1:23">
      <c r="J15" s="5" t="s">
        <v>43</v>
      </c>
      <c r="K15">
        <v>781</v>
      </c>
      <c r="O15" t="s">
        <v>44</v>
      </c>
      <c r="S15" t="s">
        <v>45</v>
      </c>
      <c r="T15" s="1">
        <v>802</v>
      </c>
      <c r="V15" s="1">
        <v>139</v>
      </c>
      <c r="W15" s="1">
        <v>1158</v>
      </c>
    </row>
    <row r="16" spans="1:23">
      <c r="A16" s="1" t="s">
        <v>46</v>
      </c>
      <c r="F16" s="7">
        <v>801</v>
      </c>
      <c r="J16" s="5" t="s">
        <v>47</v>
      </c>
      <c r="K16">
        <v>553</v>
      </c>
      <c r="O16" s="1" t="s">
        <v>15</v>
      </c>
      <c r="P16" t="s">
        <v>3</v>
      </c>
      <c r="S16" t="s">
        <v>48</v>
      </c>
      <c r="T16" s="1">
        <v>915</v>
      </c>
      <c r="V16" s="1">
        <v>125</v>
      </c>
      <c r="W16" s="1">
        <v>1176</v>
      </c>
    </row>
    <row r="17" spans="1:23">
      <c r="A17" s="1" t="s">
        <v>2</v>
      </c>
      <c r="B17" t="s">
        <v>3</v>
      </c>
      <c r="D17" t="s">
        <v>49</v>
      </c>
      <c r="E17" t="s">
        <v>3</v>
      </c>
      <c r="J17" s="5" t="s">
        <v>50</v>
      </c>
      <c r="K17">
        <v>1096</v>
      </c>
      <c r="O17" s="1" t="s">
        <v>51</v>
      </c>
      <c r="P17">
        <v>183</v>
      </c>
      <c r="V17" s="1">
        <v>126</v>
      </c>
      <c r="W17" s="1">
        <v>1374</v>
      </c>
    </row>
    <row r="18" spans="1:23">
      <c r="A18" s="1">
        <v>114</v>
      </c>
      <c r="B18">
        <v>73</v>
      </c>
      <c r="D18" s="1" t="s">
        <v>52</v>
      </c>
      <c r="E18">
        <f>B29-B28</f>
        <v>45</v>
      </c>
      <c r="J18" s="5" t="s">
        <v>19</v>
      </c>
      <c r="K18">
        <v>1327</v>
      </c>
      <c r="O18" s="1" t="s">
        <v>53</v>
      </c>
      <c r="P18">
        <v>428</v>
      </c>
      <c r="V18" s="1">
        <v>127</v>
      </c>
      <c r="W18" s="1">
        <v>1429</v>
      </c>
    </row>
    <row r="19" spans="1:23">
      <c r="A19" s="1">
        <v>112</v>
      </c>
      <c r="B19">
        <v>124</v>
      </c>
      <c r="D19" s="1">
        <v>103</v>
      </c>
      <c r="E19">
        <f>B29-B27</f>
        <v>105</v>
      </c>
      <c r="J19" s="5" t="s">
        <v>21</v>
      </c>
      <c r="K19">
        <v>1428</v>
      </c>
      <c r="O19" s="1">
        <v>1008</v>
      </c>
      <c r="P19">
        <v>577</v>
      </c>
      <c r="V19" s="1">
        <v>128</v>
      </c>
      <c r="W19" s="1">
        <v>1565</v>
      </c>
    </row>
    <row r="20" spans="1:23">
      <c r="A20" s="1" t="s">
        <v>54</v>
      </c>
      <c r="B20">
        <v>158</v>
      </c>
      <c r="D20" s="1" t="s">
        <v>55</v>
      </c>
      <c r="E20">
        <f>B29-B26</f>
        <v>194</v>
      </c>
      <c r="O20" s="1">
        <v>1003</v>
      </c>
      <c r="P20">
        <v>615</v>
      </c>
      <c r="V20" s="1" t="s">
        <v>54</v>
      </c>
      <c r="W20" s="1">
        <v>1684</v>
      </c>
    </row>
    <row r="21" spans="1:23">
      <c r="A21" s="1">
        <v>110</v>
      </c>
      <c r="B21">
        <v>314</v>
      </c>
      <c r="D21" s="1">
        <v>106</v>
      </c>
      <c r="E21">
        <f>B29-B25</f>
        <v>308</v>
      </c>
      <c r="O21" s="1">
        <v>1007</v>
      </c>
      <c r="P21">
        <v>798</v>
      </c>
      <c r="V21" s="1" t="s">
        <v>16</v>
      </c>
      <c r="W21" s="1">
        <v>1700</v>
      </c>
    </row>
    <row r="22" spans="1:23">
      <c r="A22" s="1">
        <v>111</v>
      </c>
      <c r="B22">
        <v>325</v>
      </c>
      <c r="D22" s="1">
        <v>109</v>
      </c>
      <c r="E22">
        <f>B29-B24</f>
        <v>321</v>
      </c>
      <c r="O22" s="1">
        <v>1004</v>
      </c>
      <c r="P22">
        <v>873</v>
      </c>
      <c r="V22" s="1">
        <v>130</v>
      </c>
      <c r="W22" s="1">
        <v>1796</v>
      </c>
    </row>
    <row r="23" spans="1:23">
      <c r="A23" s="1">
        <v>108</v>
      </c>
      <c r="B23">
        <v>369</v>
      </c>
      <c r="D23" s="1">
        <v>108</v>
      </c>
      <c r="E23">
        <f>B29-B23</f>
        <v>432</v>
      </c>
      <c r="O23" s="1">
        <v>1006</v>
      </c>
      <c r="P23">
        <v>989</v>
      </c>
      <c r="V23" s="1"/>
    </row>
    <row r="24" spans="1:23">
      <c r="A24" s="1">
        <v>109</v>
      </c>
      <c r="B24">
        <v>480</v>
      </c>
      <c r="D24" s="1">
        <v>111</v>
      </c>
      <c r="E24">
        <f>B29-B22</f>
        <v>476</v>
      </c>
      <c r="O24" s="1">
        <v>1005</v>
      </c>
      <c r="P24">
        <v>989</v>
      </c>
      <c r="V24" s="1"/>
    </row>
    <row r="25" spans="1:23">
      <c r="A25" s="1">
        <v>106</v>
      </c>
      <c r="B25">
        <v>493</v>
      </c>
      <c r="D25" s="1">
        <v>110</v>
      </c>
      <c r="E25">
        <f>B29-B21</f>
        <v>487</v>
      </c>
      <c r="O25" s="1" t="s">
        <v>56</v>
      </c>
      <c r="P25">
        <v>1025</v>
      </c>
    </row>
    <row r="26" spans="1:23">
      <c r="A26" s="1" t="s">
        <v>55</v>
      </c>
      <c r="B26">
        <v>607</v>
      </c>
      <c r="D26" s="1" t="s">
        <v>54</v>
      </c>
      <c r="E26">
        <f>B29-B20</f>
        <v>643</v>
      </c>
      <c r="O26" s="1" t="s">
        <v>57</v>
      </c>
      <c r="P26">
        <v>2104</v>
      </c>
    </row>
    <row r="27" spans="1:23">
      <c r="A27" s="1">
        <v>103</v>
      </c>
      <c r="B27">
        <v>696</v>
      </c>
      <c r="D27" s="1">
        <v>112</v>
      </c>
      <c r="E27">
        <f>B29-B19</f>
        <v>677</v>
      </c>
    </row>
    <row r="28" spans="1:23">
      <c r="A28" s="1" t="s">
        <v>52</v>
      </c>
      <c r="B28">
        <v>756</v>
      </c>
      <c r="D28" s="1">
        <v>114</v>
      </c>
      <c r="E28">
        <f>B29-B18</f>
        <v>728</v>
      </c>
    </row>
    <row r="29" spans="1:23">
      <c r="A29" s="1" t="s">
        <v>58</v>
      </c>
      <c r="B29">
        <v>801</v>
      </c>
      <c r="D29" s="1" t="s">
        <v>2</v>
      </c>
      <c r="E29">
        <f>B29</f>
        <v>801</v>
      </c>
    </row>
    <row r="31" spans="1:23">
      <c r="A31" s="1" t="s">
        <v>8</v>
      </c>
      <c r="F31">
        <v>1839</v>
      </c>
    </row>
    <row r="32" spans="1:23">
      <c r="A32" s="1">
        <v>112</v>
      </c>
      <c r="B32" t="s">
        <v>3</v>
      </c>
      <c r="D32">
        <v>130</v>
      </c>
      <c r="E32" t="s">
        <v>3</v>
      </c>
    </row>
    <row r="33" spans="1:5">
      <c r="A33" s="1">
        <v>116</v>
      </c>
      <c r="B33">
        <v>156</v>
      </c>
      <c r="D33" s="1" t="s">
        <v>59</v>
      </c>
      <c r="E33">
        <f>B50-B49</f>
        <v>393</v>
      </c>
    </row>
    <row r="34" spans="1:5">
      <c r="A34" s="1">
        <v>117</v>
      </c>
      <c r="B34">
        <v>208</v>
      </c>
      <c r="D34" s="1" t="s">
        <v>60</v>
      </c>
      <c r="E34">
        <f>B50-B48</f>
        <v>95</v>
      </c>
    </row>
    <row r="35" spans="1:5">
      <c r="A35" s="1">
        <v>118</v>
      </c>
      <c r="B35">
        <v>411</v>
      </c>
      <c r="D35" s="1">
        <v>128</v>
      </c>
      <c r="E35">
        <f>B50-B47</f>
        <v>227</v>
      </c>
    </row>
    <row r="36" spans="1:5">
      <c r="A36" s="1">
        <v>119</v>
      </c>
      <c r="B36">
        <v>465</v>
      </c>
      <c r="D36" s="1">
        <v>127</v>
      </c>
      <c r="E36">
        <f>B50-B46</f>
        <v>358</v>
      </c>
    </row>
    <row r="37" spans="1:5">
      <c r="A37" s="1" t="s">
        <v>61</v>
      </c>
      <c r="B37">
        <v>622</v>
      </c>
      <c r="D37" s="1">
        <v>126</v>
      </c>
      <c r="E37">
        <f>B50-B45</f>
        <v>513</v>
      </c>
    </row>
    <row r="38" spans="1:5">
      <c r="A38" s="1">
        <v>120</v>
      </c>
      <c r="B38">
        <v>662</v>
      </c>
      <c r="D38" s="1">
        <v>125</v>
      </c>
      <c r="E38">
        <f>B50-B44</f>
        <v>609</v>
      </c>
    </row>
    <row r="39" spans="1:5">
      <c r="A39" s="1">
        <v>121</v>
      </c>
      <c r="B39">
        <v>719</v>
      </c>
      <c r="D39" s="1">
        <v>139</v>
      </c>
      <c r="E39">
        <f>B50-B43</f>
        <v>621</v>
      </c>
    </row>
    <row r="40" spans="1:5">
      <c r="A40" s="1">
        <v>122</v>
      </c>
      <c r="B40">
        <v>920</v>
      </c>
      <c r="D40" s="1">
        <v>124</v>
      </c>
      <c r="E40">
        <f>B50-B42</f>
        <v>663</v>
      </c>
    </row>
    <row r="41" spans="1:5">
      <c r="A41" s="1" t="s">
        <v>62</v>
      </c>
      <c r="B41">
        <v>1002</v>
      </c>
      <c r="D41" s="1" t="s">
        <v>29</v>
      </c>
      <c r="E41">
        <f>B50-B41</f>
        <v>837</v>
      </c>
    </row>
    <row r="42" spans="1:5">
      <c r="A42" s="1">
        <v>124</v>
      </c>
      <c r="B42">
        <v>1176</v>
      </c>
      <c r="D42" s="1">
        <v>122</v>
      </c>
      <c r="E42">
        <f>B50-B40</f>
        <v>919</v>
      </c>
    </row>
    <row r="43" spans="1:5">
      <c r="A43" s="1">
        <v>139</v>
      </c>
      <c r="B43">
        <v>1218</v>
      </c>
      <c r="D43" s="1">
        <v>121</v>
      </c>
      <c r="E43">
        <f>B50-B39</f>
        <v>1120</v>
      </c>
    </row>
    <row r="44" spans="1:5">
      <c r="A44" s="1">
        <v>125</v>
      </c>
      <c r="B44">
        <v>1230</v>
      </c>
      <c r="D44" s="1">
        <v>120</v>
      </c>
      <c r="E44">
        <f>B50-B38</f>
        <v>1177</v>
      </c>
    </row>
    <row r="45" spans="1:5">
      <c r="A45" s="1">
        <v>126</v>
      </c>
      <c r="B45">
        <v>1326</v>
      </c>
      <c r="D45" s="1" t="s">
        <v>61</v>
      </c>
      <c r="E45">
        <f>B50-B37</f>
        <v>1217</v>
      </c>
    </row>
    <row r="46" spans="1:5">
      <c r="A46" s="1">
        <v>127</v>
      </c>
      <c r="B46">
        <v>1481</v>
      </c>
      <c r="D46" s="1">
        <v>119</v>
      </c>
      <c r="E46">
        <f>B50-B36</f>
        <v>1374</v>
      </c>
    </row>
    <row r="47" spans="1:5">
      <c r="A47" s="1">
        <v>128</v>
      </c>
      <c r="B47">
        <v>1612</v>
      </c>
      <c r="D47" s="1">
        <v>118</v>
      </c>
      <c r="E47">
        <f>B50-B35</f>
        <v>1428</v>
      </c>
    </row>
    <row r="48" spans="1:5">
      <c r="A48" s="1" t="s">
        <v>60</v>
      </c>
      <c r="B48">
        <v>1744</v>
      </c>
      <c r="D48" s="1">
        <v>117</v>
      </c>
      <c r="E48">
        <f>B50-B34</f>
        <v>1631</v>
      </c>
    </row>
    <row r="49" spans="1:6">
      <c r="A49" s="1" t="s">
        <v>59</v>
      </c>
      <c r="B49">
        <v>1446</v>
      </c>
      <c r="D49" s="1">
        <v>116</v>
      </c>
      <c r="E49">
        <f>B50-B33</f>
        <v>1683</v>
      </c>
    </row>
    <row r="50" spans="1:6">
      <c r="A50" s="1">
        <v>130</v>
      </c>
      <c r="B50">
        <v>1839</v>
      </c>
      <c r="D50" s="1">
        <v>112</v>
      </c>
      <c r="E50">
        <f>B50</f>
        <v>1839</v>
      </c>
    </row>
    <row r="52" spans="1:6">
      <c r="A52" s="1" t="s">
        <v>63</v>
      </c>
    </row>
    <row r="53" spans="1:6">
      <c r="A53" s="1" t="s">
        <v>2</v>
      </c>
      <c r="B53" t="s">
        <v>3</v>
      </c>
      <c r="D53" t="s">
        <v>54</v>
      </c>
      <c r="E53" t="s">
        <v>3</v>
      </c>
      <c r="F53">
        <v>786</v>
      </c>
    </row>
    <row r="54" spans="1:6">
      <c r="A54" s="1" t="s">
        <v>18</v>
      </c>
      <c r="B54">
        <v>78</v>
      </c>
      <c r="D54" s="1">
        <v>136</v>
      </c>
      <c r="E54">
        <f>B62-B61</f>
        <v>75</v>
      </c>
    </row>
    <row r="55" spans="1:6">
      <c r="A55" s="1">
        <v>130</v>
      </c>
      <c r="B55">
        <v>160</v>
      </c>
      <c r="D55" s="1">
        <v>134</v>
      </c>
      <c r="E55">
        <f>B62-B60</f>
        <v>128</v>
      </c>
    </row>
    <row r="56" spans="1:6">
      <c r="A56" s="1">
        <v>133</v>
      </c>
      <c r="B56">
        <v>455</v>
      </c>
      <c r="D56" s="1" t="s">
        <v>64</v>
      </c>
      <c r="E56">
        <f>B62-B59</f>
        <v>195</v>
      </c>
    </row>
    <row r="57" spans="1:6">
      <c r="D57" s="1" t="s">
        <v>65</v>
      </c>
      <c r="E57">
        <v>247</v>
      </c>
    </row>
    <row r="58" spans="1:6">
      <c r="A58" s="1" t="s">
        <v>66</v>
      </c>
      <c r="B58">
        <v>548</v>
      </c>
      <c r="D58" s="1" t="s">
        <v>66</v>
      </c>
      <c r="E58">
        <f>B62-B58</f>
        <v>238</v>
      </c>
    </row>
    <row r="59" spans="1:6">
      <c r="A59" s="1" t="s">
        <v>64</v>
      </c>
      <c r="B59">
        <v>591</v>
      </c>
      <c r="D59" s="1">
        <v>133</v>
      </c>
      <c r="E59">
        <f>B62-B56</f>
        <v>331</v>
      </c>
    </row>
    <row r="60" spans="1:6">
      <c r="A60" s="1">
        <v>134</v>
      </c>
      <c r="B60">
        <v>658</v>
      </c>
      <c r="D60" s="1">
        <v>130</v>
      </c>
      <c r="E60">
        <f>B62-B55</f>
        <v>626</v>
      </c>
    </row>
    <row r="61" spans="1:6">
      <c r="A61" s="1">
        <v>136</v>
      </c>
      <c r="B61">
        <v>711</v>
      </c>
      <c r="D61" s="1" t="s">
        <v>49</v>
      </c>
      <c r="E61">
        <f>B62-B54</f>
        <v>708</v>
      </c>
    </row>
    <row r="62" spans="1:6">
      <c r="A62" s="1" t="s">
        <v>59</v>
      </c>
      <c r="B62">
        <v>786</v>
      </c>
      <c r="D62" s="1" t="s">
        <v>67</v>
      </c>
      <c r="E62">
        <f>B62</f>
        <v>786</v>
      </c>
    </row>
    <row r="64" spans="1:6">
      <c r="A64" s="1" t="s">
        <v>68</v>
      </c>
      <c r="F64">
        <v>852</v>
      </c>
    </row>
    <row r="65" spans="1:6">
      <c r="A65" s="1" t="s">
        <v>69</v>
      </c>
      <c r="B65" t="s">
        <v>3</v>
      </c>
      <c r="C65" s="1"/>
      <c r="D65" s="1" t="s">
        <v>70</v>
      </c>
      <c r="E65" t="s">
        <v>3</v>
      </c>
    </row>
    <row r="66" spans="1:6">
      <c r="A66" s="1">
        <v>142</v>
      </c>
      <c r="B66">
        <v>301</v>
      </c>
      <c r="C66" s="1"/>
      <c r="D66" s="1" t="s">
        <v>60</v>
      </c>
      <c r="E66">
        <f>B71-B70</f>
        <v>45</v>
      </c>
    </row>
    <row r="67" spans="1:6">
      <c r="A67" s="1">
        <v>144</v>
      </c>
      <c r="B67">
        <v>362</v>
      </c>
      <c r="C67" s="1"/>
      <c r="D67" s="1" t="s">
        <v>59</v>
      </c>
      <c r="E67">
        <f>B71-B69</f>
        <v>267</v>
      </c>
    </row>
    <row r="68" spans="1:6">
      <c r="A68" s="1">
        <v>146</v>
      </c>
      <c r="B68">
        <v>511</v>
      </c>
      <c r="C68" s="1"/>
      <c r="D68" s="1">
        <v>146</v>
      </c>
      <c r="E68">
        <f>B71-B68</f>
        <v>341</v>
      </c>
    </row>
    <row r="69" spans="1:6">
      <c r="A69" s="1" t="s">
        <v>59</v>
      </c>
      <c r="B69">
        <v>585</v>
      </c>
      <c r="C69" s="1"/>
      <c r="D69" s="1">
        <v>144</v>
      </c>
      <c r="E69">
        <f>B71-B67</f>
        <v>490</v>
      </c>
    </row>
    <row r="70" spans="1:6">
      <c r="A70" s="1" t="s">
        <v>60</v>
      </c>
      <c r="B70">
        <v>807</v>
      </c>
      <c r="C70" s="1"/>
      <c r="D70" s="1">
        <v>142</v>
      </c>
      <c r="E70">
        <f>B71-B66</f>
        <v>551</v>
      </c>
    </row>
    <row r="71" spans="1:6">
      <c r="A71" s="1" t="s">
        <v>70</v>
      </c>
      <c r="B71">
        <v>852</v>
      </c>
      <c r="C71" s="1"/>
      <c r="D71" s="1" t="s">
        <v>69</v>
      </c>
      <c r="E71">
        <f>B71</f>
        <v>852</v>
      </c>
    </row>
    <row r="73" spans="1:6">
      <c r="A73" s="1" t="s">
        <v>71</v>
      </c>
      <c r="F73">
        <v>635</v>
      </c>
    </row>
    <row r="74" spans="1:6">
      <c r="B74" t="s">
        <v>3</v>
      </c>
    </row>
    <row r="75" spans="1:6">
      <c r="A75" s="1">
        <v>145</v>
      </c>
      <c r="B75">
        <v>24</v>
      </c>
      <c r="D75" s="1">
        <v>152</v>
      </c>
      <c r="E75" t="s">
        <v>3</v>
      </c>
    </row>
    <row r="76" spans="1:6">
      <c r="A76" s="1">
        <v>147</v>
      </c>
      <c r="B76">
        <v>91</v>
      </c>
      <c r="D76" s="1">
        <v>150</v>
      </c>
      <c r="E76">
        <f>B83-B82</f>
        <v>20</v>
      </c>
    </row>
    <row r="77" spans="1:6">
      <c r="A77" s="1">
        <v>148</v>
      </c>
      <c r="B77">
        <v>151</v>
      </c>
      <c r="D77" s="1" t="s">
        <v>49</v>
      </c>
      <c r="E77">
        <f>B83-B81</f>
        <v>143</v>
      </c>
    </row>
    <row r="78" spans="1:6">
      <c r="A78" s="1">
        <v>151</v>
      </c>
      <c r="B78">
        <v>282</v>
      </c>
      <c r="D78" s="1" t="s">
        <v>25</v>
      </c>
      <c r="E78">
        <f>B83-B80</f>
        <v>289</v>
      </c>
    </row>
    <row r="79" spans="1:6">
      <c r="A79" s="1" t="s">
        <v>2</v>
      </c>
      <c r="B79">
        <v>282</v>
      </c>
      <c r="D79" s="1" t="s">
        <v>2</v>
      </c>
      <c r="E79">
        <f>B83-B79</f>
        <v>353</v>
      </c>
    </row>
    <row r="80" spans="1:6">
      <c r="A80" s="1" t="s">
        <v>25</v>
      </c>
      <c r="B80">
        <v>346</v>
      </c>
      <c r="D80" s="1">
        <v>151</v>
      </c>
      <c r="E80">
        <f>B83-B78</f>
        <v>353</v>
      </c>
    </row>
    <row r="81" spans="1:5">
      <c r="A81" s="1" t="s">
        <v>58</v>
      </c>
      <c r="B81">
        <v>492</v>
      </c>
      <c r="D81" s="1">
        <v>148</v>
      </c>
      <c r="E81">
        <f>B83-B77</f>
        <v>484</v>
      </c>
    </row>
    <row r="82" spans="1:5">
      <c r="A82" s="1">
        <v>150</v>
      </c>
      <c r="B82">
        <v>615</v>
      </c>
      <c r="D82" s="1">
        <v>147</v>
      </c>
      <c r="E82">
        <f>B83-B76</f>
        <v>544</v>
      </c>
    </row>
    <row r="83" spans="1:5">
      <c r="A83" s="1">
        <v>152</v>
      </c>
      <c r="B83">
        <v>635</v>
      </c>
      <c r="D83" s="1">
        <v>145</v>
      </c>
      <c r="E83">
        <f>B83-B75</f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59C7-2CC3-47A4-94C6-0DD3328C5EE9}">
  <dimension ref="A1:F153"/>
  <sheetViews>
    <sheetView tabSelected="1" topLeftCell="A65" workbookViewId="0">
      <selection sqref="A1:F74"/>
    </sheetView>
  </sheetViews>
  <sheetFormatPr defaultRowHeight="15"/>
  <cols>
    <col min="3" max="3" width="18.7109375" customWidth="1"/>
    <col min="6" max="6" width="46.42578125" customWidth="1"/>
  </cols>
  <sheetData>
    <row r="1" spans="1:6">
      <c r="A1" s="11" t="s">
        <v>72</v>
      </c>
      <c r="B1" s="11" t="s">
        <v>73</v>
      </c>
      <c r="C1" s="11" t="s">
        <v>74</v>
      </c>
      <c r="D1" s="11" t="s">
        <v>75</v>
      </c>
      <c r="E1" s="11" t="s">
        <v>76</v>
      </c>
      <c r="F1" s="11" t="s">
        <v>77</v>
      </c>
    </row>
    <row r="2" spans="1:6">
      <c r="A2" s="11">
        <v>1</v>
      </c>
      <c r="B2" s="11" t="s">
        <v>78</v>
      </c>
      <c r="C2" s="11" t="s">
        <v>79</v>
      </c>
      <c r="D2" s="11"/>
      <c r="E2" s="11"/>
      <c r="F2" s="11" t="s">
        <v>80</v>
      </c>
    </row>
    <row r="3" spans="1:6">
      <c r="A3" s="11">
        <v>2</v>
      </c>
      <c r="B3" s="11" t="s">
        <v>81</v>
      </c>
      <c r="C3" s="11" t="s">
        <v>82</v>
      </c>
      <c r="D3" s="11">
        <v>39</v>
      </c>
      <c r="E3" s="11">
        <v>-1</v>
      </c>
      <c r="F3" s="11" t="s">
        <v>83</v>
      </c>
    </row>
    <row r="4" spans="1:6">
      <c r="A4" s="11">
        <v>3</v>
      </c>
      <c r="B4" s="11" t="s">
        <v>84</v>
      </c>
      <c r="C4" s="11" t="s">
        <v>82</v>
      </c>
      <c r="D4" s="11">
        <v>505</v>
      </c>
      <c r="E4" s="11">
        <v>-1</v>
      </c>
      <c r="F4" s="11" t="s">
        <v>85</v>
      </c>
    </row>
    <row r="5" spans="1:6">
      <c r="A5" s="11">
        <v>4</v>
      </c>
      <c r="B5" s="11" t="s">
        <v>86</v>
      </c>
      <c r="C5" s="11" t="s">
        <v>87</v>
      </c>
      <c r="D5" s="11">
        <v>575</v>
      </c>
      <c r="E5" s="11">
        <v>0</v>
      </c>
      <c r="F5" s="11" t="s">
        <v>88</v>
      </c>
    </row>
    <row r="6" spans="1:6">
      <c r="A6" s="11">
        <v>5</v>
      </c>
      <c r="B6" s="11" t="s">
        <v>89</v>
      </c>
      <c r="C6" s="11" t="s">
        <v>82</v>
      </c>
      <c r="D6" s="11">
        <v>575</v>
      </c>
      <c r="E6" s="11">
        <v>1</v>
      </c>
      <c r="F6" s="11" t="s">
        <v>90</v>
      </c>
    </row>
    <row r="7" spans="1:6">
      <c r="A7" s="11">
        <v>6</v>
      </c>
      <c r="B7" s="11" t="s">
        <v>91</v>
      </c>
      <c r="C7" s="11" t="s">
        <v>82</v>
      </c>
      <c r="D7" s="11">
        <v>850</v>
      </c>
      <c r="E7" s="11">
        <v>1</v>
      </c>
      <c r="F7" s="11" t="s">
        <v>92</v>
      </c>
    </row>
    <row r="8" spans="1:6">
      <c r="A8" s="11">
        <v>7</v>
      </c>
      <c r="B8" s="11" t="s">
        <v>93</v>
      </c>
      <c r="C8" s="11" t="s">
        <v>82</v>
      </c>
      <c r="D8" s="11">
        <v>505</v>
      </c>
      <c r="E8" s="11">
        <v>-1</v>
      </c>
      <c r="F8" s="11" t="s">
        <v>94</v>
      </c>
    </row>
    <row r="9" spans="1:6">
      <c r="A9" s="11">
        <v>8</v>
      </c>
      <c r="B9" s="11" t="s">
        <v>95</v>
      </c>
      <c r="C9" s="11" t="s">
        <v>82</v>
      </c>
      <c r="D9" s="11">
        <v>1067</v>
      </c>
      <c r="E9" s="11">
        <v>1</v>
      </c>
      <c r="F9" s="11" t="s">
        <v>96</v>
      </c>
    </row>
    <row r="10" spans="1:6">
      <c r="A10" s="11">
        <v>9</v>
      </c>
      <c r="B10" s="11" t="s">
        <v>97</v>
      </c>
      <c r="C10" s="11" t="s">
        <v>82</v>
      </c>
      <c r="D10" s="11">
        <v>1186</v>
      </c>
      <c r="E10" s="11">
        <v>-1</v>
      </c>
      <c r="F10" s="11" t="s">
        <v>96</v>
      </c>
    </row>
    <row r="11" spans="1:6">
      <c r="A11" s="11">
        <v>10</v>
      </c>
      <c r="B11" s="11" t="s">
        <v>98</v>
      </c>
      <c r="C11" s="11" t="s">
        <v>99</v>
      </c>
      <c r="D11" s="11">
        <v>1333</v>
      </c>
      <c r="E11" s="11">
        <v>-1</v>
      </c>
      <c r="F11" s="11" t="s">
        <v>100</v>
      </c>
    </row>
    <row r="12" spans="1:6">
      <c r="A12" s="11">
        <v>11</v>
      </c>
      <c r="B12" s="11" t="s">
        <v>101</v>
      </c>
      <c r="C12" s="11" t="s">
        <v>99</v>
      </c>
      <c r="D12" s="11">
        <v>1608</v>
      </c>
      <c r="E12" s="11">
        <v>1</v>
      </c>
      <c r="F12" s="11" t="s">
        <v>102</v>
      </c>
    </row>
    <row r="13" spans="1:6">
      <c r="A13" s="11">
        <v>12</v>
      </c>
      <c r="B13" s="11" t="s">
        <v>103</v>
      </c>
      <c r="C13" s="11" t="s">
        <v>82</v>
      </c>
      <c r="D13" s="11">
        <v>1678</v>
      </c>
      <c r="E13" s="11">
        <v>-1</v>
      </c>
      <c r="F13" s="11" t="s">
        <v>104</v>
      </c>
    </row>
    <row r="14" spans="1:6">
      <c r="A14" s="11">
        <v>13</v>
      </c>
      <c r="B14" s="11" t="s">
        <v>105</v>
      </c>
      <c r="C14" s="11" t="s">
        <v>106</v>
      </c>
      <c r="D14" s="11">
        <v>1721</v>
      </c>
      <c r="E14" s="11">
        <v>0</v>
      </c>
      <c r="F14" s="11" t="s">
        <v>107</v>
      </c>
    </row>
    <row r="15" spans="1:6">
      <c r="A15" s="11">
        <v>14</v>
      </c>
      <c r="B15" s="11" t="s">
        <v>108</v>
      </c>
      <c r="C15" s="11" t="s">
        <v>79</v>
      </c>
      <c r="D15" s="11">
        <v>915</v>
      </c>
      <c r="E15" s="11"/>
      <c r="F15" s="11" t="s">
        <v>109</v>
      </c>
    </row>
    <row r="16" spans="1:6">
      <c r="A16" s="11">
        <v>15</v>
      </c>
      <c r="B16" s="11" t="s">
        <v>110</v>
      </c>
      <c r="C16" s="11" t="s">
        <v>111</v>
      </c>
      <c r="D16" s="11">
        <v>61</v>
      </c>
      <c r="E16" s="11">
        <v>1</v>
      </c>
      <c r="F16" s="11" t="s">
        <v>112</v>
      </c>
    </row>
    <row r="17" spans="1:6">
      <c r="A17" s="11">
        <v>16</v>
      </c>
      <c r="B17" s="11" t="s">
        <v>113</v>
      </c>
      <c r="C17" s="11" t="s">
        <v>114</v>
      </c>
      <c r="D17" s="11">
        <v>104</v>
      </c>
      <c r="E17" s="11">
        <v>-1</v>
      </c>
      <c r="F17" s="11" t="s">
        <v>115</v>
      </c>
    </row>
    <row r="18" spans="1:6">
      <c r="A18" s="11">
        <v>17</v>
      </c>
      <c r="B18" s="11" t="s">
        <v>116</v>
      </c>
      <c r="C18" s="11" t="s">
        <v>117</v>
      </c>
      <c r="D18" s="11">
        <v>167</v>
      </c>
      <c r="E18" s="11">
        <v>-1</v>
      </c>
      <c r="F18" s="11" t="s">
        <v>118</v>
      </c>
    </row>
    <row r="19" spans="1:6">
      <c r="A19" s="11">
        <v>18</v>
      </c>
      <c r="B19" s="11" t="s">
        <v>119</v>
      </c>
      <c r="C19" s="11" t="s">
        <v>120</v>
      </c>
      <c r="D19" s="11">
        <v>252</v>
      </c>
      <c r="E19" s="11">
        <v>-1</v>
      </c>
      <c r="F19" s="11" t="s">
        <v>121</v>
      </c>
    </row>
    <row r="20" spans="1:6">
      <c r="A20" s="11">
        <v>19</v>
      </c>
      <c r="B20" s="11" t="s">
        <v>27</v>
      </c>
      <c r="C20" s="11" t="s">
        <v>122</v>
      </c>
      <c r="D20" s="11">
        <v>368</v>
      </c>
      <c r="E20" s="11">
        <v>1</v>
      </c>
      <c r="F20" s="11" t="s">
        <v>123</v>
      </c>
    </row>
    <row r="21" spans="1:6">
      <c r="A21" s="11">
        <v>20</v>
      </c>
      <c r="B21" s="12" t="s">
        <v>32</v>
      </c>
      <c r="C21" s="11" t="s">
        <v>124</v>
      </c>
      <c r="D21" s="11">
        <v>422</v>
      </c>
      <c r="E21" s="11">
        <v>-1</v>
      </c>
      <c r="F21" s="11" t="s">
        <v>125</v>
      </c>
    </row>
    <row r="22" spans="1:6">
      <c r="A22" s="11">
        <v>21</v>
      </c>
      <c r="B22" s="12" t="s">
        <v>33</v>
      </c>
      <c r="C22" s="11" t="s">
        <v>126</v>
      </c>
      <c r="D22" s="11">
        <v>494</v>
      </c>
      <c r="E22" s="11">
        <v>1</v>
      </c>
      <c r="F22" s="11" t="s">
        <v>127</v>
      </c>
    </row>
    <row r="23" spans="1:6">
      <c r="A23" s="11">
        <v>22</v>
      </c>
      <c r="B23" s="12" t="s">
        <v>34</v>
      </c>
      <c r="C23" s="11" t="s">
        <v>124</v>
      </c>
      <c r="D23" s="11">
        <v>578</v>
      </c>
      <c r="E23" s="11">
        <v>-1</v>
      </c>
      <c r="F23" s="11" t="s">
        <v>128</v>
      </c>
    </row>
    <row r="24" spans="1:6">
      <c r="A24" s="11">
        <v>23</v>
      </c>
      <c r="B24" s="12" t="s">
        <v>36</v>
      </c>
      <c r="C24" s="11" t="s">
        <v>126</v>
      </c>
      <c r="D24" s="11">
        <v>552</v>
      </c>
      <c r="E24" s="11">
        <v>1</v>
      </c>
      <c r="F24" s="11" t="s">
        <v>129</v>
      </c>
    </row>
    <row r="25" spans="1:6">
      <c r="A25" s="11">
        <v>24</v>
      </c>
      <c r="B25" s="12" t="s">
        <v>39</v>
      </c>
      <c r="C25" s="11" t="s">
        <v>99</v>
      </c>
      <c r="D25" s="11">
        <v>679</v>
      </c>
      <c r="E25" s="11">
        <v>-1</v>
      </c>
      <c r="F25" s="11" t="s">
        <v>8</v>
      </c>
    </row>
    <row r="26" spans="1:6">
      <c r="A26" s="11">
        <v>25</v>
      </c>
      <c r="B26" s="12" t="s">
        <v>42</v>
      </c>
      <c r="C26" s="11" t="s">
        <v>126</v>
      </c>
      <c r="D26" s="11">
        <v>744</v>
      </c>
      <c r="E26" s="11">
        <v>1</v>
      </c>
      <c r="F26" s="11" t="s">
        <v>130</v>
      </c>
    </row>
    <row r="27" spans="1:6">
      <c r="A27" s="11">
        <v>26</v>
      </c>
      <c r="B27" s="12" t="s">
        <v>45</v>
      </c>
      <c r="C27" s="11" t="s">
        <v>131</v>
      </c>
      <c r="D27" s="11">
        <v>802</v>
      </c>
      <c r="E27" s="11">
        <v>1</v>
      </c>
      <c r="F27" s="11" t="s">
        <v>132</v>
      </c>
    </row>
    <row r="28" spans="1:6">
      <c r="A28" s="11">
        <v>27</v>
      </c>
      <c r="B28" s="12" t="s">
        <v>48</v>
      </c>
      <c r="C28" s="11" t="s">
        <v>106</v>
      </c>
      <c r="D28" s="11">
        <v>915</v>
      </c>
      <c r="E28" s="11">
        <v>1</v>
      </c>
      <c r="F28" s="11" t="s">
        <v>107</v>
      </c>
    </row>
    <row r="29" spans="1:6">
      <c r="A29" s="11">
        <v>28</v>
      </c>
      <c r="B29" s="11" t="s">
        <v>133</v>
      </c>
      <c r="C29" s="11" t="s">
        <v>79</v>
      </c>
      <c r="D29" s="11">
        <v>1839</v>
      </c>
      <c r="E29" s="11"/>
      <c r="F29" s="11" t="s">
        <v>134</v>
      </c>
    </row>
    <row r="30" spans="1:6">
      <c r="A30" s="11">
        <v>29</v>
      </c>
      <c r="B30" s="12" t="s">
        <v>135</v>
      </c>
      <c r="C30" s="11" t="s">
        <v>126</v>
      </c>
      <c r="D30" s="11">
        <v>88</v>
      </c>
      <c r="E30" s="11">
        <v>1</v>
      </c>
      <c r="F30" s="11" t="s">
        <v>136</v>
      </c>
    </row>
    <row r="31" spans="1:6">
      <c r="A31" s="11">
        <v>30</v>
      </c>
      <c r="B31" s="12" t="s">
        <v>137</v>
      </c>
      <c r="C31" s="11" t="s">
        <v>126</v>
      </c>
      <c r="D31" s="11">
        <v>148</v>
      </c>
      <c r="E31" s="11">
        <v>1</v>
      </c>
      <c r="F31" s="11" t="s">
        <v>138</v>
      </c>
    </row>
    <row r="32" spans="1:6">
      <c r="A32" s="11">
        <v>31</v>
      </c>
      <c r="B32" s="12" t="s">
        <v>139</v>
      </c>
      <c r="C32" s="11" t="s">
        <v>140</v>
      </c>
      <c r="D32" s="11">
        <v>274</v>
      </c>
      <c r="E32" s="11"/>
      <c r="F32" s="11"/>
    </row>
    <row r="33" spans="1:6">
      <c r="A33" s="11">
        <v>32</v>
      </c>
      <c r="B33" s="12" t="s">
        <v>141</v>
      </c>
      <c r="C33" s="11" t="s">
        <v>126</v>
      </c>
      <c r="D33" s="11">
        <v>346</v>
      </c>
      <c r="E33" s="11">
        <v>1</v>
      </c>
      <c r="F33" s="13" t="s">
        <v>142</v>
      </c>
    </row>
    <row r="34" spans="1:6">
      <c r="A34" s="11">
        <v>33</v>
      </c>
      <c r="B34" s="12" t="s">
        <v>143</v>
      </c>
      <c r="C34" s="11" t="s">
        <v>126</v>
      </c>
      <c r="D34" s="11">
        <v>403</v>
      </c>
      <c r="E34" s="11">
        <v>1</v>
      </c>
      <c r="F34" s="13" t="s">
        <v>144</v>
      </c>
    </row>
    <row r="35" spans="1:6">
      <c r="A35" s="11">
        <v>34</v>
      </c>
      <c r="B35" s="12" t="s">
        <v>145</v>
      </c>
      <c r="C35" s="11" t="s">
        <v>82</v>
      </c>
      <c r="D35" s="11">
        <v>562</v>
      </c>
      <c r="E35" s="11">
        <v>-1</v>
      </c>
      <c r="F35" s="15" t="s">
        <v>146</v>
      </c>
    </row>
    <row r="36" spans="1:6">
      <c r="A36" s="11">
        <v>35</v>
      </c>
      <c r="B36" s="12" t="s">
        <v>147</v>
      </c>
      <c r="C36" s="11" t="s">
        <v>126</v>
      </c>
      <c r="D36" s="11">
        <v>605</v>
      </c>
      <c r="E36" s="11">
        <v>1</v>
      </c>
      <c r="F36" s="15" t="s">
        <v>148</v>
      </c>
    </row>
    <row r="37" spans="1:6">
      <c r="A37" s="11">
        <v>36</v>
      </c>
      <c r="B37" s="12" t="s">
        <v>149</v>
      </c>
      <c r="C37" s="11" t="s">
        <v>126</v>
      </c>
      <c r="D37" s="11">
        <v>661</v>
      </c>
      <c r="E37" s="11">
        <v>1</v>
      </c>
      <c r="F37" s="13" t="s">
        <v>150</v>
      </c>
    </row>
    <row r="38" spans="1:6">
      <c r="A38" s="11">
        <v>37</v>
      </c>
      <c r="B38" s="12" t="s">
        <v>151</v>
      </c>
      <c r="C38" s="11" t="s">
        <v>126</v>
      </c>
      <c r="D38" s="11">
        <v>864</v>
      </c>
      <c r="E38" s="11">
        <v>1</v>
      </c>
      <c r="F38" s="13" t="s">
        <v>152</v>
      </c>
    </row>
    <row r="39" spans="1:6">
      <c r="A39" s="11">
        <v>38</v>
      </c>
      <c r="B39" s="12" t="s">
        <v>153</v>
      </c>
      <c r="C39" s="11" t="s">
        <v>82</v>
      </c>
      <c r="D39" s="11">
        <v>914</v>
      </c>
      <c r="E39" s="11">
        <v>-1</v>
      </c>
      <c r="F39" s="15" t="s">
        <v>154</v>
      </c>
    </row>
    <row r="40" spans="1:6">
      <c r="A40" s="11">
        <v>39</v>
      </c>
      <c r="B40" s="12" t="s">
        <v>155</v>
      </c>
      <c r="C40" s="11" t="s">
        <v>126</v>
      </c>
      <c r="D40" s="11">
        <v>945</v>
      </c>
      <c r="E40" s="11">
        <v>1</v>
      </c>
      <c r="F40" s="11" t="s">
        <v>156</v>
      </c>
    </row>
    <row r="41" spans="1:6">
      <c r="A41" s="11">
        <v>40</v>
      </c>
      <c r="B41" s="12" t="s">
        <v>157</v>
      </c>
      <c r="C41" s="11" t="s">
        <v>126</v>
      </c>
      <c r="D41" s="11">
        <v>1119</v>
      </c>
      <c r="E41" s="11">
        <v>1</v>
      </c>
      <c r="F41" s="11" t="s">
        <v>158</v>
      </c>
    </row>
    <row r="42" spans="1:6">
      <c r="A42" s="11">
        <v>41</v>
      </c>
      <c r="B42" s="12" t="s">
        <v>159</v>
      </c>
      <c r="C42" s="11" t="s">
        <v>126</v>
      </c>
      <c r="D42" s="11">
        <v>1158</v>
      </c>
      <c r="E42" s="11">
        <v>1</v>
      </c>
      <c r="F42" s="11" t="s">
        <v>160</v>
      </c>
    </row>
    <row r="43" spans="1:6">
      <c r="A43" s="11">
        <v>42</v>
      </c>
      <c r="B43" s="12" t="s">
        <v>161</v>
      </c>
      <c r="C43" s="11" t="s">
        <v>126</v>
      </c>
      <c r="D43" s="11">
        <v>1176</v>
      </c>
      <c r="E43" s="11">
        <v>1</v>
      </c>
      <c r="F43" s="14" t="s">
        <v>162</v>
      </c>
    </row>
    <row r="44" spans="1:6">
      <c r="A44" s="11">
        <v>43</v>
      </c>
      <c r="B44" s="12" t="s">
        <v>163</v>
      </c>
      <c r="C44" s="11" t="s">
        <v>126</v>
      </c>
      <c r="D44" s="11">
        <v>1374</v>
      </c>
      <c r="E44" s="11">
        <v>1</v>
      </c>
      <c r="F44" s="13" t="s">
        <v>164</v>
      </c>
    </row>
    <row r="45" spans="1:6">
      <c r="A45" s="11">
        <v>44</v>
      </c>
      <c r="B45" s="12" t="s">
        <v>165</v>
      </c>
      <c r="C45" s="11" t="s">
        <v>126</v>
      </c>
      <c r="D45" s="11">
        <v>1429</v>
      </c>
      <c r="E45" s="11">
        <v>1</v>
      </c>
      <c r="F45" s="11" t="s">
        <v>166</v>
      </c>
    </row>
    <row r="46" spans="1:6">
      <c r="A46" s="11">
        <v>45</v>
      </c>
      <c r="B46" s="12" t="s">
        <v>167</v>
      </c>
      <c r="C46" s="11" t="s">
        <v>111</v>
      </c>
      <c r="D46" s="11">
        <v>1565</v>
      </c>
      <c r="E46" s="11">
        <v>1</v>
      </c>
      <c r="F46" s="11" t="s">
        <v>168</v>
      </c>
    </row>
    <row r="47" spans="1:6">
      <c r="A47" s="11">
        <v>46</v>
      </c>
      <c r="B47" s="12" t="s">
        <v>169</v>
      </c>
      <c r="C47" s="11" t="s">
        <v>99</v>
      </c>
      <c r="D47" s="11">
        <v>1684</v>
      </c>
      <c r="E47" s="11">
        <v>-1</v>
      </c>
      <c r="F47" s="11" t="s">
        <v>170</v>
      </c>
    </row>
    <row r="48" spans="1:6">
      <c r="A48" s="11">
        <v>47</v>
      </c>
      <c r="B48" s="12" t="s">
        <v>171</v>
      </c>
      <c r="C48" s="11" t="s">
        <v>126</v>
      </c>
      <c r="D48" s="11">
        <v>1700</v>
      </c>
      <c r="E48" s="11">
        <v>0</v>
      </c>
      <c r="F48" s="11" t="s">
        <v>172</v>
      </c>
    </row>
    <row r="49" spans="1:6">
      <c r="A49" s="11">
        <v>48</v>
      </c>
      <c r="B49" s="12" t="s">
        <v>173</v>
      </c>
      <c r="C49" s="11" t="s">
        <v>79</v>
      </c>
      <c r="D49" s="11">
        <v>1796</v>
      </c>
      <c r="E49" s="11"/>
      <c r="F49" s="11" t="s">
        <v>174</v>
      </c>
    </row>
    <row r="50" spans="1:6">
      <c r="A50" s="11">
        <v>49</v>
      </c>
      <c r="B50" s="11" t="s">
        <v>175</v>
      </c>
      <c r="C50" s="11" t="s">
        <v>122</v>
      </c>
      <c r="D50" s="11">
        <v>75</v>
      </c>
      <c r="E50" s="11">
        <v>-1</v>
      </c>
      <c r="F50" s="11" t="s">
        <v>176</v>
      </c>
    </row>
    <row r="51" spans="1:6">
      <c r="A51" s="11">
        <v>50</v>
      </c>
      <c r="B51" s="12" t="s">
        <v>177</v>
      </c>
      <c r="C51" s="11" t="s">
        <v>178</v>
      </c>
      <c r="D51" s="11">
        <v>128</v>
      </c>
      <c r="E51" s="11">
        <v>-1</v>
      </c>
      <c r="F51" s="11" t="s">
        <v>179</v>
      </c>
    </row>
    <row r="52" spans="1:6">
      <c r="A52" s="11">
        <v>51</v>
      </c>
      <c r="B52" s="12" t="s">
        <v>180</v>
      </c>
      <c r="C52" s="11" t="s">
        <v>181</v>
      </c>
      <c r="D52" s="11">
        <v>195</v>
      </c>
      <c r="E52" s="11">
        <v>-1</v>
      </c>
      <c r="F52" s="11" t="s">
        <v>182</v>
      </c>
    </row>
    <row r="53" spans="1:6">
      <c r="A53" s="11">
        <v>52</v>
      </c>
      <c r="B53" s="12" t="s">
        <v>183</v>
      </c>
      <c r="C53" s="11" t="s">
        <v>181</v>
      </c>
      <c r="D53" s="11">
        <v>238</v>
      </c>
      <c r="E53" s="11">
        <v>-1</v>
      </c>
      <c r="F53" s="11" t="s">
        <v>182</v>
      </c>
    </row>
    <row r="54" spans="1:6">
      <c r="A54" s="11">
        <v>53</v>
      </c>
      <c r="B54" s="12" t="s">
        <v>65</v>
      </c>
      <c r="C54" s="11" t="s">
        <v>126</v>
      </c>
      <c r="D54" s="11">
        <v>247</v>
      </c>
      <c r="E54" s="11">
        <v>1</v>
      </c>
      <c r="F54" s="11" t="s">
        <v>158</v>
      </c>
    </row>
    <row r="55" spans="1:6">
      <c r="A55" s="11">
        <v>54</v>
      </c>
      <c r="B55" s="12" t="s">
        <v>184</v>
      </c>
      <c r="C55" s="11" t="s">
        <v>82</v>
      </c>
      <c r="D55" s="11">
        <v>331</v>
      </c>
      <c r="E55" s="11">
        <v>1</v>
      </c>
      <c r="F55" s="11" t="s">
        <v>96</v>
      </c>
    </row>
    <row r="56" spans="1:6">
      <c r="A56" s="11">
        <v>55</v>
      </c>
      <c r="B56" s="12" t="s">
        <v>185</v>
      </c>
      <c r="C56" s="11" t="s">
        <v>111</v>
      </c>
      <c r="D56" s="11">
        <v>708</v>
      </c>
      <c r="E56" s="11">
        <v>-1</v>
      </c>
      <c r="F56" s="11" t="s">
        <v>186</v>
      </c>
    </row>
    <row r="57" spans="1:6">
      <c r="A57" s="11">
        <v>56</v>
      </c>
      <c r="B57" s="11" t="s">
        <v>187</v>
      </c>
      <c r="C57" s="11" t="s">
        <v>188</v>
      </c>
      <c r="D57" s="11">
        <v>786</v>
      </c>
      <c r="E57" s="11">
        <v>0</v>
      </c>
      <c r="F57" s="11" t="s">
        <v>189</v>
      </c>
    </row>
    <row r="58" spans="1:6">
      <c r="A58" s="11">
        <v>57</v>
      </c>
      <c r="B58" s="11" t="s">
        <v>190</v>
      </c>
      <c r="C58" s="11" t="s">
        <v>79</v>
      </c>
      <c r="D58" s="11">
        <v>852</v>
      </c>
      <c r="E58" s="11"/>
      <c r="F58" s="11" t="s">
        <v>191</v>
      </c>
    </row>
    <row r="59" spans="1:6">
      <c r="A59" s="11">
        <v>58</v>
      </c>
      <c r="B59" s="11" t="s">
        <v>192</v>
      </c>
      <c r="C59" s="11" t="s">
        <v>82</v>
      </c>
      <c r="D59" s="11">
        <v>301</v>
      </c>
      <c r="E59" s="11">
        <v>-1</v>
      </c>
      <c r="F59" s="11" t="s">
        <v>96</v>
      </c>
    </row>
    <row r="60" spans="1:6">
      <c r="A60" s="11">
        <v>59</v>
      </c>
      <c r="B60" s="12" t="s">
        <v>193</v>
      </c>
      <c r="C60" s="11" t="s">
        <v>82</v>
      </c>
      <c r="D60" s="11">
        <v>362</v>
      </c>
      <c r="E60" s="11">
        <v>-1</v>
      </c>
      <c r="F60" s="11" t="s">
        <v>194</v>
      </c>
    </row>
    <row r="61" spans="1:6">
      <c r="A61" s="11">
        <v>60</v>
      </c>
      <c r="B61" s="12" t="s">
        <v>195</v>
      </c>
      <c r="C61" s="11" t="s">
        <v>82</v>
      </c>
      <c r="D61" s="11">
        <v>511</v>
      </c>
      <c r="E61" s="11">
        <v>-1</v>
      </c>
      <c r="F61" s="11" t="s">
        <v>196</v>
      </c>
    </row>
    <row r="62" spans="1:6">
      <c r="A62" s="11">
        <v>61</v>
      </c>
      <c r="B62" s="12" t="s">
        <v>197</v>
      </c>
      <c r="C62" s="11" t="s">
        <v>99</v>
      </c>
      <c r="D62" s="11">
        <v>585</v>
      </c>
      <c r="E62" s="11">
        <v>-1</v>
      </c>
      <c r="F62" s="11" t="s">
        <v>198</v>
      </c>
    </row>
    <row r="63" spans="1:6">
      <c r="A63" s="11">
        <v>62</v>
      </c>
      <c r="B63" s="12" t="s">
        <v>199</v>
      </c>
      <c r="C63" s="11" t="s">
        <v>111</v>
      </c>
      <c r="D63" s="11">
        <v>807</v>
      </c>
      <c r="E63" s="11">
        <v>-1</v>
      </c>
      <c r="F63" s="11" t="s">
        <v>168</v>
      </c>
    </row>
    <row r="64" spans="1:6">
      <c r="A64" s="11">
        <v>63</v>
      </c>
      <c r="B64" s="12" t="s">
        <v>200</v>
      </c>
      <c r="C64" s="11" t="s">
        <v>201</v>
      </c>
      <c r="D64" s="11">
        <v>852</v>
      </c>
      <c r="E64" s="11">
        <v>0</v>
      </c>
      <c r="F64" s="11" t="s">
        <v>202</v>
      </c>
    </row>
    <row r="65" spans="1:6">
      <c r="A65" s="11">
        <v>64</v>
      </c>
      <c r="B65" s="12" t="s">
        <v>203</v>
      </c>
      <c r="C65" s="11" t="s">
        <v>79</v>
      </c>
      <c r="D65" s="11">
        <v>635</v>
      </c>
      <c r="E65" s="11"/>
      <c r="F65" s="11" t="s">
        <v>204</v>
      </c>
    </row>
    <row r="66" spans="1:6">
      <c r="A66" s="11">
        <v>65</v>
      </c>
      <c r="B66" s="12" t="s">
        <v>205</v>
      </c>
      <c r="C66" s="11" t="s">
        <v>122</v>
      </c>
      <c r="D66" s="11">
        <v>24</v>
      </c>
      <c r="E66" s="11">
        <v>1</v>
      </c>
      <c r="F66" s="11" t="s">
        <v>206</v>
      </c>
    </row>
    <row r="67" spans="1:6">
      <c r="A67" s="11">
        <v>66</v>
      </c>
      <c r="B67" s="12" t="s">
        <v>207</v>
      </c>
      <c r="C67" s="11" t="s">
        <v>82</v>
      </c>
      <c r="D67" s="11">
        <v>91</v>
      </c>
      <c r="E67" s="11">
        <v>1</v>
      </c>
      <c r="F67" s="11" t="s">
        <v>208</v>
      </c>
    </row>
    <row r="68" spans="1:6">
      <c r="A68" s="11">
        <v>67</v>
      </c>
      <c r="B68" s="12" t="s">
        <v>209</v>
      </c>
      <c r="C68" s="11" t="s">
        <v>82</v>
      </c>
      <c r="D68" s="11">
        <v>151</v>
      </c>
      <c r="E68" s="11">
        <v>-1</v>
      </c>
      <c r="F68" s="11" t="s">
        <v>210</v>
      </c>
    </row>
    <row r="69" spans="1:6">
      <c r="A69" s="11">
        <v>68</v>
      </c>
      <c r="B69" s="12" t="s">
        <v>211</v>
      </c>
      <c r="C69" s="11" t="s">
        <v>122</v>
      </c>
      <c r="D69" s="11">
        <v>282</v>
      </c>
      <c r="E69" s="11">
        <v>-1</v>
      </c>
      <c r="F69" s="11" t="s">
        <v>212</v>
      </c>
    </row>
    <row r="70" spans="1:6">
      <c r="A70" s="11">
        <v>69</v>
      </c>
      <c r="B70" s="12" t="s">
        <v>213</v>
      </c>
      <c r="C70" s="11" t="s">
        <v>188</v>
      </c>
      <c r="D70" s="11">
        <v>282</v>
      </c>
      <c r="E70" s="11">
        <v>1</v>
      </c>
      <c r="F70" s="11" t="s">
        <v>214</v>
      </c>
    </row>
    <row r="71" spans="1:6">
      <c r="A71" s="11">
        <v>70</v>
      </c>
      <c r="B71" s="12" t="s">
        <v>215</v>
      </c>
      <c r="C71" s="11" t="s">
        <v>216</v>
      </c>
      <c r="D71" s="11">
        <v>346</v>
      </c>
      <c r="E71" s="11">
        <v>-1</v>
      </c>
      <c r="F71" s="11" t="s">
        <v>217</v>
      </c>
    </row>
    <row r="72" spans="1:6">
      <c r="A72" s="11">
        <v>71</v>
      </c>
      <c r="B72" s="12" t="s">
        <v>218</v>
      </c>
      <c r="C72" s="11" t="s">
        <v>87</v>
      </c>
      <c r="D72" s="11">
        <v>492</v>
      </c>
      <c r="E72" s="11">
        <v>-1</v>
      </c>
      <c r="F72" s="11" t="s">
        <v>219</v>
      </c>
    </row>
    <row r="73" spans="1:6">
      <c r="A73" s="11">
        <v>72</v>
      </c>
      <c r="B73" s="12" t="s">
        <v>84</v>
      </c>
      <c r="C73" s="11" t="s">
        <v>82</v>
      </c>
      <c r="D73" s="11">
        <v>615</v>
      </c>
      <c r="E73" s="11">
        <v>-1</v>
      </c>
      <c r="F73" s="11" t="s">
        <v>154</v>
      </c>
    </row>
    <row r="74" spans="1:6">
      <c r="A74" s="11">
        <v>73</v>
      </c>
      <c r="B74" s="12" t="s">
        <v>220</v>
      </c>
      <c r="C74" s="11" t="s">
        <v>122</v>
      </c>
      <c r="D74" s="11">
        <v>635</v>
      </c>
      <c r="E74" s="11">
        <v>0</v>
      </c>
      <c r="F74" s="11" t="s">
        <v>221</v>
      </c>
    </row>
    <row r="75" spans="1:6">
      <c r="A75">
        <v>74</v>
      </c>
      <c r="B75" t="s">
        <v>222</v>
      </c>
      <c r="C75" t="s">
        <v>223</v>
      </c>
      <c r="F75" t="s">
        <v>224</v>
      </c>
    </row>
    <row r="76" spans="1:6">
      <c r="A76">
        <v>75</v>
      </c>
      <c r="B76" t="s">
        <v>225</v>
      </c>
      <c r="C76" t="s">
        <v>226</v>
      </c>
      <c r="D76" s="9">
        <v>1136</v>
      </c>
      <c r="F76" s="10" t="s">
        <v>10</v>
      </c>
    </row>
    <row r="77" spans="1:6">
      <c r="A77">
        <v>76</v>
      </c>
      <c r="B77" t="s">
        <v>227</v>
      </c>
      <c r="C77" t="s">
        <v>226</v>
      </c>
      <c r="D77" s="8">
        <v>559</v>
      </c>
      <c r="F77" s="8" t="s">
        <v>14</v>
      </c>
    </row>
    <row r="78" spans="1:6">
      <c r="A78">
        <v>77</v>
      </c>
      <c r="B78" t="s">
        <v>228</v>
      </c>
      <c r="C78" t="s">
        <v>124</v>
      </c>
      <c r="D78" s="8">
        <v>580</v>
      </c>
      <c r="F78" t="s">
        <v>229</v>
      </c>
    </row>
    <row r="79" spans="1:6">
      <c r="A79">
        <v>78</v>
      </c>
      <c r="B79" t="s">
        <v>230</v>
      </c>
      <c r="C79" t="s">
        <v>124</v>
      </c>
      <c r="D79" s="8">
        <v>684</v>
      </c>
      <c r="F79" t="s">
        <v>231</v>
      </c>
    </row>
    <row r="80" spans="1:6">
      <c r="A80">
        <v>79</v>
      </c>
      <c r="B80" t="s">
        <v>232</v>
      </c>
      <c r="C80" t="s">
        <v>226</v>
      </c>
      <c r="D80" s="8">
        <v>571</v>
      </c>
      <c r="F80" s="10" t="s">
        <v>23</v>
      </c>
    </row>
    <row r="81" spans="1:6">
      <c r="A81">
        <v>80</v>
      </c>
      <c r="B81" t="s">
        <v>233</v>
      </c>
      <c r="C81" t="s">
        <v>226</v>
      </c>
      <c r="D81" s="8">
        <v>875</v>
      </c>
      <c r="F81" s="8" t="s">
        <v>26</v>
      </c>
    </row>
    <row r="82" spans="1:6">
      <c r="A82">
        <v>81</v>
      </c>
      <c r="B82" t="s">
        <v>234</v>
      </c>
      <c r="C82" t="s">
        <v>235</v>
      </c>
      <c r="D82" s="8">
        <v>497</v>
      </c>
      <c r="F82" s="10" t="s">
        <v>30</v>
      </c>
    </row>
    <row r="83" spans="1:6">
      <c r="A83">
        <v>82</v>
      </c>
      <c r="B83" t="s">
        <v>228</v>
      </c>
      <c r="C83" t="s">
        <v>124</v>
      </c>
      <c r="D83" s="8">
        <v>1327</v>
      </c>
      <c r="F83" s="10" t="s">
        <v>229</v>
      </c>
    </row>
    <row r="84" spans="1:6">
      <c r="A84">
        <v>83</v>
      </c>
      <c r="B84" t="s">
        <v>230</v>
      </c>
      <c r="C84" t="s">
        <v>124</v>
      </c>
      <c r="D84" s="8">
        <v>1428</v>
      </c>
      <c r="F84" s="10" t="s">
        <v>231</v>
      </c>
    </row>
    <row r="85" spans="1:6">
      <c r="A85">
        <v>84</v>
      </c>
      <c r="B85" t="s">
        <v>236</v>
      </c>
      <c r="C85" t="s">
        <v>237</v>
      </c>
      <c r="D85" s="8">
        <v>496</v>
      </c>
      <c r="F85" t="s">
        <v>238</v>
      </c>
    </row>
    <row r="86" spans="1:6">
      <c r="A86">
        <v>85</v>
      </c>
      <c r="B86" t="s">
        <v>239</v>
      </c>
      <c r="C86" t="s">
        <v>240</v>
      </c>
      <c r="D86" s="8">
        <v>553</v>
      </c>
      <c r="F86" s="10" t="s">
        <v>47</v>
      </c>
    </row>
    <row r="87" spans="1:6">
      <c r="A87">
        <v>86</v>
      </c>
      <c r="B87" t="s">
        <v>241</v>
      </c>
      <c r="C87" t="s">
        <v>240</v>
      </c>
      <c r="D87" s="8">
        <v>1096</v>
      </c>
      <c r="F87" s="10" t="s">
        <v>50</v>
      </c>
    </row>
    <row r="88" spans="1:6">
      <c r="A88">
        <v>87</v>
      </c>
      <c r="B88" t="s">
        <v>228</v>
      </c>
      <c r="C88" t="s">
        <v>124</v>
      </c>
      <c r="D88" s="8">
        <v>1327</v>
      </c>
      <c r="F88" t="s">
        <v>229</v>
      </c>
    </row>
    <row r="89" spans="1:6">
      <c r="A89">
        <v>88</v>
      </c>
      <c r="B89" t="s">
        <v>230</v>
      </c>
      <c r="C89" t="s">
        <v>124</v>
      </c>
      <c r="D89" s="8">
        <v>1428</v>
      </c>
      <c r="F89" t="s">
        <v>231</v>
      </c>
    </row>
    <row r="90" spans="1:6">
      <c r="A90">
        <v>89</v>
      </c>
    </row>
    <row r="91" spans="1:6">
      <c r="A91">
        <v>90</v>
      </c>
    </row>
    <row r="92" spans="1:6">
      <c r="A92">
        <v>91</v>
      </c>
    </row>
    <row r="93" spans="1:6">
      <c r="A93">
        <v>92</v>
      </c>
    </row>
    <row r="94" spans="1:6">
      <c r="A94">
        <v>93</v>
      </c>
    </row>
    <row r="95" spans="1:6">
      <c r="A95">
        <v>94</v>
      </c>
    </row>
    <row r="96" spans="1:6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111</v>
      </c>
    </row>
    <row r="116" spans="1:1">
      <c r="A116">
        <v>112</v>
      </c>
    </row>
    <row r="117" spans="1:1">
      <c r="A117">
        <v>113</v>
      </c>
    </row>
    <row r="118" spans="1:1">
      <c r="A118">
        <v>114</v>
      </c>
    </row>
    <row r="119" spans="1:1">
      <c r="A119">
        <v>115</v>
      </c>
    </row>
    <row r="120" spans="1:1">
      <c r="A120">
        <v>116</v>
      </c>
    </row>
    <row r="121" spans="1:1">
      <c r="A121">
        <v>117</v>
      </c>
    </row>
    <row r="122" spans="1:1">
      <c r="A122">
        <v>118</v>
      </c>
    </row>
    <row r="123" spans="1:1">
      <c r="A123">
        <v>119</v>
      </c>
    </row>
    <row r="124" spans="1:1">
      <c r="A124">
        <v>120</v>
      </c>
    </row>
    <row r="125" spans="1:1">
      <c r="A125">
        <v>121</v>
      </c>
    </row>
    <row r="126" spans="1:1">
      <c r="A126">
        <v>122</v>
      </c>
    </row>
    <row r="127" spans="1:1">
      <c r="A127">
        <v>123</v>
      </c>
    </row>
    <row r="128" spans="1:1">
      <c r="A128">
        <v>124</v>
      </c>
    </row>
    <row r="129" spans="1:1">
      <c r="A129">
        <v>125</v>
      </c>
    </row>
    <row r="130" spans="1:1">
      <c r="A130">
        <v>126</v>
      </c>
    </row>
    <row r="131" spans="1:1">
      <c r="A131">
        <v>127</v>
      </c>
    </row>
    <row r="132" spans="1:1">
      <c r="A132">
        <v>128</v>
      </c>
    </row>
    <row r="133" spans="1:1">
      <c r="A133">
        <v>129</v>
      </c>
    </row>
    <row r="134" spans="1:1">
      <c r="A134">
        <v>130</v>
      </c>
    </row>
    <row r="135" spans="1:1">
      <c r="A135">
        <v>131</v>
      </c>
    </row>
    <row r="136" spans="1:1">
      <c r="A136">
        <v>132</v>
      </c>
    </row>
    <row r="137" spans="1:1">
      <c r="A137">
        <v>133</v>
      </c>
    </row>
    <row r="138" spans="1:1">
      <c r="A138">
        <v>134</v>
      </c>
    </row>
    <row r="139" spans="1:1">
      <c r="A139">
        <v>135</v>
      </c>
    </row>
    <row r="140" spans="1:1">
      <c r="A140">
        <v>136</v>
      </c>
    </row>
    <row r="141" spans="1:1">
      <c r="A141">
        <v>137</v>
      </c>
    </row>
    <row r="142" spans="1:1">
      <c r="A142">
        <v>138</v>
      </c>
    </row>
    <row r="143" spans="1:1">
      <c r="A143">
        <v>139</v>
      </c>
    </row>
    <row r="144" spans="1:1">
      <c r="A144">
        <v>140</v>
      </c>
    </row>
    <row r="145" spans="1:1">
      <c r="A145">
        <v>141</v>
      </c>
    </row>
    <row r="146" spans="1:1">
      <c r="A146">
        <v>142</v>
      </c>
    </row>
    <row r="147" spans="1:1">
      <c r="A147">
        <v>143</v>
      </c>
    </row>
    <row r="148" spans="1:1">
      <c r="A148">
        <v>144</v>
      </c>
    </row>
    <row r="149" spans="1:1">
      <c r="A149">
        <v>145</v>
      </c>
    </row>
    <row r="150" spans="1:1">
      <c r="A150">
        <v>146</v>
      </c>
    </row>
    <row r="151" spans="1:1">
      <c r="A151">
        <v>147</v>
      </c>
    </row>
    <row r="152" spans="1:1">
      <c r="A152">
        <v>148</v>
      </c>
    </row>
    <row r="153" spans="1:1">
      <c r="A153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2026-04-02T23:07:34Z</dcterms:created>
  <dcterms:modified xsi:type="dcterms:W3CDTF">2026-10-21T03:01:20Z</dcterms:modified>
  <cp:category/>
  <cp:contentStatus/>
</cp:coreProperties>
</file>